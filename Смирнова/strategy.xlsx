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nas\Desktop\exam\system\Projects\"/>
    </mc:Choice>
  </mc:AlternateContent>
  <bookViews>
    <workbookView xWindow="0" yWindow="0" windowWidth="28800" windowHeight="1218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75" i="1" l="1"/>
  <c r="I64" i="1"/>
  <c r="I63" i="1"/>
  <c r="I52" i="1"/>
  <c r="I51" i="1"/>
  <c r="I40" i="1"/>
  <c r="I39" i="1"/>
  <c r="I28" i="1"/>
  <c r="I27" i="1"/>
  <c r="I16" i="1"/>
  <c r="I15" i="1"/>
  <c r="I76" i="1"/>
</calcChain>
</file>

<file path=xl/sharedStrings.xml><?xml version="1.0" encoding="utf-8"?>
<sst xmlns="http://schemas.openxmlformats.org/spreadsheetml/2006/main" count="95" uniqueCount="41">
  <si>
    <t>Процесс</t>
  </si>
  <si>
    <t>Приоритет</t>
  </si>
  <si>
    <t>P1</t>
  </si>
  <si>
    <t>P2</t>
  </si>
  <si>
    <t>P3</t>
  </si>
  <si>
    <t>P4</t>
  </si>
  <si>
    <t>P5</t>
  </si>
  <si>
    <t>P6</t>
  </si>
  <si>
    <t>Время выполнения</t>
  </si>
  <si>
    <t>Время появления в системе</t>
  </si>
  <si>
    <t>FCFS</t>
  </si>
  <si>
    <t>p1</t>
  </si>
  <si>
    <t>p2</t>
  </si>
  <si>
    <t>p3</t>
  </si>
  <si>
    <t>p4</t>
  </si>
  <si>
    <t>p5</t>
  </si>
  <si>
    <t>p6</t>
  </si>
  <si>
    <t>Ср вр ожид</t>
  </si>
  <si>
    <t>Ср вр выпол</t>
  </si>
  <si>
    <t>SJF без прерыв</t>
  </si>
  <si>
    <t>SJF с прерыв</t>
  </si>
  <si>
    <t>Priority без прерыв</t>
  </si>
  <si>
    <t>Priority c прерыв</t>
  </si>
  <si>
    <t>RR (q=4)</t>
  </si>
  <si>
    <t>Стратегия</t>
  </si>
  <si>
    <t>Ср вр ожидания</t>
  </si>
  <si>
    <t>Ср вр выполнения</t>
  </si>
  <si>
    <t>21.67</t>
  </si>
  <si>
    <t>29.67</t>
  </si>
  <si>
    <t>SJF без прерываний</t>
  </si>
  <si>
    <t>13.67</t>
  </si>
  <si>
    <t>SJF с прерываниями</t>
  </si>
  <si>
    <t>Приоритет без прерываний</t>
  </si>
  <si>
    <t>20.67</t>
  </si>
  <si>
    <t>28.67</t>
  </si>
  <si>
    <t>Приоритет с прерываниями</t>
  </si>
  <si>
    <t>18.33</t>
  </si>
  <si>
    <t>26.33</t>
  </si>
  <si>
    <t>Round Robin (q=4)</t>
  </si>
  <si>
    <t>27.83</t>
  </si>
  <si>
    <t>35.33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</si>
</sst>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0" fillId="7" borderId="1" xfId="0" applyFill="1" applyBorder="1"/>
    <xf numFmtId="0" fontId="0" fillId="6" borderId="1" xfId="0" applyFill="1" applyBorder="1"/>
    <xf numFmtId="0" fontId="0" fillId="5" borderId="1" xfId="0" applyFill="1" applyBorder="1"/>
    <xf numFmtId="0" fontId="0" fillId="4" borderId="1" xfId="0" applyFill="1" applyBorder="1"/>
    <xf numFmtId="0" fontId="0" fillId="8" borderId="1" xfId="0" applyFill="1" applyBorder="1"/>
    <xf numFmtId="0" fontId="0" fillId="8" borderId="2" xfId="0" applyFill="1" applyBorder="1"/>
    <xf numFmtId="0" fontId="0" fillId="8" borderId="3" xfId="0" applyFill="1" applyBorder="1"/>
    <xf numFmtId="0" fontId="0" fillId="0" borderId="4" xfId="0" applyBorder="1"/>
    <xf numFmtId="0" fontId="0" fillId="8" borderId="5" xfId="0" applyFill="1" applyBorder="1"/>
    <xf numFmtId="0" fontId="0" fillId="8" borderId="0" xfId="0" applyFill="1" applyBorder="1"/>
    <xf numFmtId="0" fontId="0" fillId="8" borderId="6" xfId="0" applyFill="1" applyBorder="1"/>
    <xf numFmtId="0" fontId="0" fillId="8" borderId="7" xfId="0" applyFill="1" applyBorder="1"/>
    <xf numFmtId="0" fontId="0" fillId="8" borderId="8" xfId="0" applyFill="1" applyBorder="1"/>
    <xf numFmtId="0" fontId="0" fillId="0" borderId="2" xfId="0" applyBorder="1"/>
    <xf numFmtId="0" fontId="0" fillId="8" borderId="4" xfId="0" applyFill="1" applyBorder="1"/>
    <xf numFmtId="0" fontId="0" fillId="8" borderId="9" xfId="0" applyFill="1" applyBorder="1"/>
    <xf numFmtId="0" fontId="0" fillId="6" borderId="6" xfId="0" applyFill="1" applyBorder="1"/>
    <xf numFmtId="0" fontId="0" fillId="6" borderId="3" xfId="0" applyFill="1" applyBorder="1"/>
    <xf numFmtId="0" fontId="0" fillId="6" borderId="5" xfId="0" applyFill="1" applyBorder="1"/>
    <xf numFmtId="0" fontId="0" fillId="6" borderId="4" xfId="0" applyFill="1" applyBorder="1"/>
    <xf numFmtId="0" fontId="2" fillId="8" borderId="1" xfId="0" applyFont="1" applyFill="1" applyBorder="1"/>
    <xf numFmtId="0" fontId="2" fillId="6" borderId="1" xfId="0" applyFont="1" applyFill="1" applyBorder="1"/>
    <xf numFmtId="0" fontId="0" fillId="8" borderId="0" xfId="0" applyFill="1"/>
    <xf numFmtId="0" fontId="0" fillId="5" borderId="2" xfId="0" applyFill="1" applyBorder="1"/>
    <xf numFmtId="0" fontId="0" fillId="0" borderId="1" xfId="0" applyFill="1" applyBorder="1"/>
    <xf numFmtId="0" fontId="0" fillId="0" borderId="0" xfId="0" applyFill="1"/>
    <xf numFmtId="0" fontId="2" fillId="6" borderId="2" xfId="0" applyFont="1" applyFill="1" applyBorder="1"/>
    <xf numFmtId="0" fontId="2" fillId="8" borderId="0" xfId="0" applyFont="1" applyFill="1" applyBorder="1"/>
    <xf numFmtId="2" fontId="0" fillId="0" borderId="0" xfId="0" applyNumberFormat="1"/>
    <xf numFmtId="0" fontId="2" fillId="8" borderId="2" xfId="0" applyFont="1" applyFill="1" applyBorder="1"/>
    <xf numFmtId="0" fontId="3" fillId="8" borderId="6" xfId="0" applyFont="1" applyFill="1" applyBorder="1"/>
    <xf numFmtId="0" fontId="3" fillId="8" borderId="3" xfId="0" applyFont="1" applyFill="1" applyBorder="1"/>
    <xf numFmtId="0" fontId="3" fillId="6" borderId="6" xfId="0" applyFont="1" applyFill="1" applyBorder="1"/>
    <xf numFmtId="0" fontId="3" fillId="6" borderId="3" xfId="0" applyFont="1" applyFill="1" applyBorder="1"/>
    <xf numFmtId="0" fontId="0" fillId="6" borderId="8" xfId="0" applyFill="1" applyBorder="1"/>
    <xf numFmtId="0" fontId="0" fillId="6" borderId="2" xfId="0" applyFill="1" applyBorder="1"/>
    <xf numFmtId="0" fontId="0" fillId="0" borderId="2" xfId="0" applyFill="1" applyBorder="1"/>
    <xf numFmtId="0" fontId="2" fillId="0" borderId="1" xfId="0" applyFont="1" applyFill="1" applyBorder="1"/>
    <xf numFmtId="0" fontId="2" fillId="0" borderId="2" xfId="0" applyFont="1" applyFill="1" applyBorder="1"/>
    <xf numFmtId="0" fontId="0" fillId="9" borderId="0" xfId="0" applyFill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87"/>
  <sheetViews>
    <sheetView tabSelected="1" zoomScale="85" zoomScaleNormal="85" workbookViewId="0">
      <selection activeCell="E82" sqref="E82"/>
    </sheetView>
  </sheetViews>
  <sheetFormatPr defaultRowHeight="15" x14ac:dyDescent="0.25"/>
  <cols>
    <col min="1" max="1" width="18.140625" customWidth="1"/>
    <col min="2" max="2" width="12.28515625" bestFit="1" customWidth="1"/>
    <col min="3" max="3" width="12.5703125" bestFit="1" customWidth="1"/>
    <col min="4" max="4" width="14.28515625" customWidth="1"/>
    <col min="8" max="8" width="20" customWidth="1"/>
    <col min="9" max="9" width="6.85546875" customWidth="1"/>
    <col min="10" max="18" width="2.7109375" customWidth="1"/>
    <col min="19" max="57" width="3.7109375" customWidth="1"/>
  </cols>
  <sheetData>
    <row r="1" spans="1:57" ht="45" x14ac:dyDescent="0.25">
      <c r="A1" s="1" t="s">
        <v>0</v>
      </c>
      <c r="B1" s="1" t="s">
        <v>9</v>
      </c>
      <c r="C1" s="1" t="s">
        <v>8</v>
      </c>
      <c r="D1" s="1" t="s">
        <v>1</v>
      </c>
    </row>
    <row r="2" spans="1:57" x14ac:dyDescent="0.25">
      <c r="A2" s="2" t="s">
        <v>2</v>
      </c>
      <c r="B2" s="2">
        <v>2</v>
      </c>
      <c r="C2" s="2">
        <v>6</v>
      </c>
      <c r="D2" s="2">
        <v>1</v>
      </c>
    </row>
    <row r="3" spans="1:57" x14ac:dyDescent="0.25">
      <c r="A3" s="2" t="s">
        <v>3</v>
      </c>
      <c r="B3" s="2">
        <v>3</v>
      </c>
      <c r="C3" s="2">
        <v>9</v>
      </c>
      <c r="D3" s="2">
        <v>2</v>
      </c>
    </row>
    <row r="4" spans="1:57" x14ac:dyDescent="0.25">
      <c r="A4" s="2" t="s">
        <v>4</v>
      </c>
      <c r="B4" s="2">
        <v>4</v>
      </c>
      <c r="C4" s="2">
        <v>7</v>
      </c>
      <c r="D4" s="2">
        <v>3</v>
      </c>
    </row>
    <row r="5" spans="1:57" x14ac:dyDescent="0.25">
      <c r="A5" s="2" t="s">
        <v>5</v>
      </c>
      <c r="B5" s="2">
        <v>0</v>
      </c>
      <c r="C5" s="2">
        <v>14</v>
      </c>
      <c r="D5" s="2">
        <v>4</v>
      </c>
    </row>
    <row r="6" spans="1:57" x14ac:dyDescent="0.25">
      <c r="A6" s="2" t="s">
        <v>6</v>
      </c>
      <c r="B6" s="2">
        <v>6</v>
      </c>
      <c r="C6" s="2">
        <v>4</v>
      </c>
      <c r="D6" s="2">
        <v>5</v>
      </c>
    </row>
    <row r="7" spans="1:57" ht="15.75" thickBot="1" x14ac:dyDescent="0.3">
      <c r="A7" s="2" t="s">
        <v>7</v>
      </c>
      <c r="B7" s="2">
        <v>0</v>
      </c>
      <c r="C7" s="2">
        <v>8</v>
      </c>
      <c r="D7" s="2">
        <v>6</v>
      </c>
      <c r="H7" s="3" t="s">
        <v>10</v>
      </c>
      <c r="I7" s="3">
        <v>0</v>
      </c>
      <c r="J7" s="3">
        <v>1</v>
      </c>
      <c r="K7" s="3">
        <v>2</v>
      </c>
      <c r="L7" s="3">
        <v>3</v>
      </c>
      <c r="M7" s="3">
        <v>4</v>
      </c>
      <c r="N7" s="3">
        <v>5</v>
      </c>
      <c r="O7" s="3">
        <v>6</v>
      </c>
      <c r="P7" s="3">
        <v>7</v>
      </c>
      <c r="Q7" s="3">
        <v>8</v>
      </c>
      <c r="R7" s="3">
        <v>9</v>
      </c>
      <c r="S7" s="3">
        <v>10</v>
      </c>
      <c r="T7" s="3">
        <v>11</v>
      </c>
      <c r="U7" s="3">
        <v>12</v>
      </c>
      <c r="V7" s="3">
        <v>13</v>
      </c>
      <c r="W7" s="3">
        <v>14</v>
      </c>
      <c r="X7" s="3">
        <v>15</v>
      </c>
      <c r="Y7" s="3">
        <v>16</v>
      </c>
      <c r="Z7" s="3">
        <v>17</v>
      </c>
      <c r="AA7" s="3">
        <v>18</v>
      </c>
      <c r="AB7" s="3">
        <v>19</v>
      </c>
      <c r="AC7" s="3">
        <v>20</v>
      </c>
      <c r="AD7" s="3">
        <v>21</v>
      </c>
      <c r="AE7" s="3">
        <v>22</v>
      </c>
      <c r="AF7" s="3">
        <v>23</v>
      </c>
      <c r="AG7" s="3">
        <v>24</v>
      </c>
      <c r="AH7" s="3">
        <v>25</v>
      </c>
      <c r="AI7" s="3">
        <v>26</v>
      </c>
      <c r="AJ7" s="3">
        <v>27</v>
      </c>
      <c r="AK7" s="3">
        <v>28</v>
      </c>
      <c r="AL7" s="3">
        <v>29</v>
      </c>
      <c r="AM7" s="3">
        <v>30</v>
      </c>
      <c r="AN7" s="3">
        <v>31</v>
      </c>
      <c r="AO7" s="3">
        <v>32</v>
      </c>
      <c r="AP7" s="3">
        <v>33</v>
      </c>
      <c r="AQ7" s="3">
        <v>34</v>
      </c>
      <c r="AR7" s="3">
        <v>35</v>
      </c>
      <c r="AS7" s="3">
        <v>36</v>
      </c>
      <c r="AT7" s="3">
        <v>37</v>
      </c>
      <c r="AU7" s="3">
        <v>38</v>
      </c>
      <c r="AV7" s="3">
        <v>39</v>
      </c>
      <c r="AW7" s="3">
        <v>40</v>
      </c>
      <c r="AX7" s="3">
        <v>41</v>
      </c>
      <c r="AY7" s="3">
        <v>42</v>
      </c>
      <c r="AZ7" s="3">
        <v>43</v>
      </c>
      <c r="BA7" s="3">
        <v>44</v>
      </c>
      <c r="BB7" s="3">
        <v>45</v>
      </c>
      <c r="BC7" s="3">
        <v>46</v>
      </c>
      <c r="BD7" s="3">
        <v>47</v>
      </c>
      <c r="BE7" s="13">
        <v>48</v>
      </c>
    </row>
    <row r="8" spans="1:57" ht="15.75" thickBot="1" x14ac:dyDescent="0.3">
      <c r="H8" s="3" t="s">
        <v>11</v>
      </c>
      <c r="I8" s="10"/>
      <c r="J8" s="11"/>
      <c r="K8" s="16"/>
      <c r="L8" s="18"/>
      <c r="M8" s="10"/>
      <c r="N8" s="10"/>
      <c r="O8" s="10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4"/>
      <c r="AF8" s="4"/>
      <c r="AG8" s="4"/>
      <c r="AH8" s="4"/>
      <c r="AI8" s="4"/>
      <c r="AJ8" s="4"/>
      <c r="AK8" s="10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19"/>
      <c r="BE8" s="15"/>
    </row>
    <row r="9" spans="1:57" ht="15.75" thickBot="1" x14ac:dyDescent="0.3">
      <c r="H9" s="3" t="s">
        <v>12</v>
      </c>
      <c r="I9" s="10"/>
      <c r="J9" s="10"/>
      <c r="K9" s="17"/>
      <c r="L9" s="16"/>
      <c r="M9" s="18"/>
      <c r="N9" s="10"/>
      <c r="O9" s="10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5"/>
      <c r="AL9" s="5"/>
      <c r="AM9" s="5"/>
      <c r="AN9" s="5"/>
      <c r="AO9" s="5"/>
      <c r="AP9" s="5"/>
      <c r="AQ9" s="5"/>
      <c r="AR9" s="5"/>
      <c r="AS9" s="5"/>
      <c r="AT9" s="10"/>
      <c r="AU9" s="3"/>
      <c r="AV9" s="3"/>
      <c r="AW9" s="3"/>
      <c r="AX9" s="3"/>
      <c r="AY9" s="3"/>
      <c r="AZ9" s="3"/>
      <c r="BA9" s="3"/>
      <c r="BB9" s="3"/>
      <c r="BC9" s="3"/>
      <c r="BD9" s="19"/>
      <c r="BE9" s="15"/>
    </row>
    <row r="10" spans="1:57" ht="15.75" thickBot="1" x14ac:dyDescent="0.3">
      <c r="H10" s="3" t="s">
        <v>13</v>
      </c>
      <c r="I10" s="20"/>
      <c r="J10" s="10"/>
      <c r="K10" s="10"/>
      <c r="L10" s="17"/>
      <c r="M10" s="16"/>
      <c r="N10" s="12"/>
      <c r="O10" s="10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6"/>
      <c r="AU10" s="6"/>
      <c r="AV10" s="6"/>
      <c r="AW10" s="6"/>
      <c r="AX10" s="6"/>
      <c r="AY10" s="6"/>
      <c r="AZ10" s="6"/>
      <c r="BA10" s="10"/>
      <c r="BB10" s="3"/>
      <c r="BC10" s="3"/>
      <c r="BD10" s="19"/>
      <c r="BE10" s="15"/>
    </row>
    <row r="11" spans="1:57" ht="15.75" thickBot="1" x14ac:dyDescent="0.3">
      <c r="H11" s="3" t="s">
        <v>14</v>
      </c>
      <c r="I11" s="22"/>
      <c r="J11" s="23"/>
      <c r="K11" s="7"/>
      <c r="L11" s="7"/>
      <c r="M11" s="24"/>
      <c r="N11" s="7"/>
      <c r="O11" s="25"/>
      <c r="P11" s="7"/>
      <c r="Q11" s="7"/>
      <c r="R11" s="7"/>
      <c r="S11" s="7"/>
      <c r="T11" s="7"/>
      <c r="U11" s="7"/>
      <c r="V11" s="7"/>
      <c r="W11" s="10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19"/>
      <c r="BE11" s="15"/>
    </row>
    <row r="12" spans="1:57" ht="15.75" thickBot="1" x14ac:dyDescent="0.3">
      <c r="H12" s="3" t="s">
        <v>15</v>
      </c>
      <c r="I12" s="21"/>
      <c r="J12" s="10"/>
      <c r="K12" s="10"/>
      <c r="L12" s="10"/>
      <c r="M12" s="10"/>
      <c r="N12" s="11"/>
      <c r="O12" s="16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8"/>
      <c r="BB12" s="8"/>
      <c r="BC12" s="8"/>
      <c r="BD12" s="29"/>
      <c r="BE12" s="15"/>
    </row>
    <row r="13" spans="1:57" ht="15.75" thickBot="1" x14ac:dyDescent="0.3">
      <c r="H13" s="3" t="s">
        <v>16</v>
      </c>
      <c r="I13" s="16"/>
      <c r="J13" s="12"/>
      <c r="K13" s="10"/>
      <c r="L13" s="10"/>
      <c r="M13" s="10"/>
      <c r="N13" s="10"/>
      <c r="O13" s="14"/>
      <c r="P13" s="3"/>
      <c r="Q13" s="3"/>
      <c r="R13" s="3"/>
      <c r="S13" s="3"/>
      <c r="T13" s="3"/>
      <c r="U13" s="3"/>
      <c r="V13" s="3"/>
      <c r="W13" s="9"/>
      <c r="X13" s="9"/>
      <c r="Y13" s="9"/>
      <c r="Z13" s="9"/>
      <c r="AA13" s="9"/>
      <c r="AB13" s="9"/>
      <c r="AC13" s="9"/>
      <c r="AD13" s="9"/>
      <c r="AE13" s="10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19"/>
      <c r="BE13" s="15"/>
    </row>
    <row r="14" spans="1:57" x14ac:dyDescent="0.25">
      <c r="BE14" s="28"/>
    </row>
    <row r="15" spans="1:57" x14ac:dyDescent="0.25">
      <c r="H15" t="s">
        <v>18</v>
      </c>
      <c r="I15">
        <f>((14-0)+(22-0)+(28-2)+(37-3)+(44-4)+(48-6))/6</f>
        <v>29.666666666666668</v>
      </c>
    </row>
    <row r="16" spans="1:57" x14ac:dyDescent="0.25">
      <c r="H16" t="s">
        <v>17</v>
      </c>
      <c r="I16">
        <f>((14-0-14)+(22-0-8)+(28-2-6)+(37-3-9)+(44-4-7)+(48-6-4))/6</f>
        <v>21.666666666666668</v>
      </c>
    </row>
    <row r="19" spans="8:57" ht="15.75" thickBot="1" x14ac:dyDescent="0.3">
      <c r="H19" s="3" t="s">
        <v>19</v>
      </c>
      <c r="I19" s="3">
        <v>0</v>
      </c>
      <c r="J19" s="3">
        <v>1</v>
      </c>
      <c r="K19" s="13">
        <v>2</v>
      </c>
      <c r="L19" s="3">
        <v>3</v>
      </c>
      <c r="M19" s="3">
        <v>4</v>
      </c>
      <c r="N19" s="3">
        <v>5</v>
      </c>
      <c r="O19" s="3">
        <v>6</v>
      </c>
      <c r="P19" s="3">
        <v>7</v>
      </c>
      <c r="Q19" s="3">
        <v>8</v>
      </c>
      <c r="R19" s="3">
        <v>9</v>
      </c>
      <c r="S19" s="3">
        <v>10</v>
      </c>
      <c r="T19" s="3">
        <v>11</v>
      </c>
      <c r="U19" s="3">
        <v>12</v>
      </c>
      <c r="V19" s="3">
        <v>13</v>
      </c>
      <c r="W19" s="3">
        <v>14</v>
      </c>
      <c r="X19" s="3">
        <v>15</v>
      </c>
      <c r="Y19" s="3">
        <v>16</v>
      </c>
      <c r="Z19" s="3">
        <v>17</v>
      </c>
      <c r="AA19" s="3">
        <v>18</v>
      </c>
      <c r="AB19" s="3">
        <v>19</v>
      </c>
      <c r="AC19" s="3">
        <v>20</v>
      </c>
      <c r="AD19" s="3">
        <v>21</v>
      </c>
      <c r="AE19" s="3">
        <v>22</v>
      </c>
      <c r="AF19" s="3">
        <v>23</v>
      </c>
      <c r="AG19" s="3">
        <v>24</v>
      </c>
      <c r="AH19" s="3">
        <v>25</v>
      </c>
      <c r="AI19" s="3">
        <v>26</v>
      </c>
      <c r="AJ19" s="3">
        <v>27</v>
      </c>
      <c r="AK19" s="3">
        <v>28</v>
      </c>
      <c r="AL19" s="3">
        <v>29</v>
      </c>
      <c r="AM19" s="3">
        <v>30</v>
      </c>
      <c r="AN19" s="3">
        <v>31</v>
      </c>
      <c r="AO19" s="3">
        <v>32</v>
      </c>
      <c r="AP19" s="3">
        <v>33</v>
      </c>
      <c r="AQ19" s="3">
        <v>34</v>
      </c>
      <c r="AR19" s="3">
        <v>35</v>
      </c>
      <c r="AS19" s="3">
        <v>36</v>
      </c>
      <c r="AT19" s="3">
        <v>37</v>
      </c>
      <c r="AU19" s="3">
        <v>38</v>
      </c>
      <c r="AV19" s="3">
        <v>39</v>
      </c>
      <c r="AW19" s="3">
        <v>40</v>
      </c>
      <c r="AX19" s="3">
        <v>41</v>
      </c>
      <c r="AY19" s="3">
        <v>42</v>
      </c>
      <c r="AZ19" s="3">
        <v>43</v>
      </c>
      <c r="BA19" s="3">
        <v>44</v>
      </c>
      <c r="BB19" s="3">
        <v>45</v>
      </c>
      <c r="BC19" s="3">
        <v>46</v>
      </c>
      <c r="BD19" s="3">
        <v>47</v>
      </c>
      <c r="BE19" s="13">
        <v>48</v>
      </c>
    </row>
    <row r="20" spans="8:57" ht="15.75" thickBot="1" x14ac:dyDescent="0.3">
      <c r="H20" s="3" t="s">
        <v>11</v>
      </c>
      <c r="I20" s="10"/>
      <c r="J20" s="11"/>
      <c r="K20" s="16"/>
      <c r="L20" s="18"/>
      <c r="M20" s="10"/>
      <c r="N20" s="10"/>
      <c r="O20" s="10"/>
      <c r="P20" s="10"/>
      <c r="Q20" s="7"/>
      <c r="R20" s="7"/>
      <c r="S20" s="7"/>
      <c r="T20" s="7"/>
      <c r="U20" s="7"/>
      <c r="V20" s="7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1"/>
      <c r="BE20" s="15"/>
    </row>
    <row r="21" spans="8:57" ht="15.75" thickBot="1" x14ac:dyDescent="0.3">
      <c r="H21" s="3" t="s">
        <v>12</v>
      </c>
      <c r="I21" s="10"/>
      <c r="J21" s="10"/>
      <c r="K21" s="17"/>
      <c r="L21" s="16"/>
      <c r="M21" s="18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7"/>
      <c r="AI21" s="7"/>
      <c r="AJ21" s="7"/>
      <c r="AK21" s="7"/>
      <c r="AL21" s="7"/>
      <c r="AM21" s="7"/>
      <c r="AN21" s="7"/>
      <c r="AO21" s="7"/>
      <c r="AP21" s="7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1"/>
      <c r="BE21" s="15"/>
    </row>
    <row r="22" spans="8:57" ht="15.75" thickBot="1" x14ac:dyDescent="0.3">
      <c r="H22" s="3" t="s">
        <v>13</v>
      </c>
      <c r="I22" s="20"/>
      <c r="J22" s="10"/>
      <c r="K22" s="10"/>
      <c r="L22" s="17"/>
      <c r="M22" s="16"/>
      <c r="N22" s="12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7"/>
      <c r="AB22" s="7"/>
      <c r="AC22" s="7"/>
      <c r="AD22" s="7"/>
      <c r="AE22" s="7"/>
      <c r="AF22" s="7"/>
      <c r="AG22" s="7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1"/>
      <c r="BE22" s="15"/>
    </row>
    <row r="23" spans="8:57" ht="15.75" thickBot="1" x14ac:dyDescent="0.3">
      <c r="H23" s="19" t="s">
        <v>14</v>
      </c>
      <c r="I23" s="16"/>
      <c r="J23" s="12"/>
      <c r="K23" s="10"/>
      <c r="L23" s="10"/>
      <c r="M23" s="14"/>
      <c r="N23" s="10"/>
      <c r="O23" s="2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32"/>
      <c r="BE23" s="33"/>
    </row>
    <row r="24" spans="8:57" ht="15.75" thickBot="1" x14ac:dyDescent="0.3">
      <c r="H24" s="3" t="s">
        <v>15</v>
      </c>
      <c r="I24" s="21"/>
      <c r="J24" s="10"/>
      <c r="K24" s="10"/>
      <c r="L24" s="10"/>
      <c r="M24" s="10"/>
      <c r="N24" s="11"/>
      <c r="O24" s="16"/>
      <c r="P24" s="12"/>
      <c r="Q24" s="10"/>
      <c r="R24" s="10"/>
      <c r="S24" s="10"/>
      <c r="T24" s="10"/>
      <c r="U24" s="10"/>
      <c r="V24" s="10"/>
      <c r="W24" s="7"/>
      <c r="X24" s="7"/>
      <c r="Y24" s="7"/>
      <c r="Z24" s="7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1"/>
      <c r="BE24" s="15"/>
    </row>
    <row r="25" spans="8:57" ht="15.75" thickBot="1" x14ac:dyDescent="0.3">
      <c r="H25" s="19" t="s">
        <v>16</v>
      </c>
      <c r="I25" s="22"/>
      <c r="J25" s="23"/>
      <c r="K25" s="7"/>
      <c r="L25" s="7"/>
      <c r="M25" s="7"/>
      <c r="N25" s="7"/>
      <c r="O25" s="24"/>
      <c r="P25" s="7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1"/>
      <c r="BE25" s="15"/>
    </row>
    <row r="26" spans="8:57" x14ac:dyDescent="0.25">
      <c r="BE26" s="28"/>
    </row>
    <row r="27" spans="8:57" x14ac:dyDescent="0.25">
      <c r="H27" t="s">
        <v>18</v>
      </c>
      <c r="I27">
        <f>((8-0)+(12-6)+(18-2)+(25-3)+(34-4)+(48-0))/6</f>
        <v>21.666666666666668</v>
      </c>
    </row>
    <row r="28" spans="8:57" x14ac:dyDescent="0.25">
      <c r="H28" t="s">
        <v>17</v>
      </c>
      <c r="I28">
        <f>((8-0-8)+(12-6-4)+(18-2-6)+(25-3-9)+(34-4-7)+(48-0-14))/6</f>
        <v>13.666666666666666</v>
      </c>
    </row>
    <row r="31" spans="8:57" ht="15.75" thickBot="1" x14ac:dyDescent="0.3">
      <c r="H31" s="3" t="s">
        <v>20</v>
      </c>
      <c r="I31" s="3">
        <v>0</v>
      </c>
      <c r="J31" s="3">
        <v>1</v>
      </c>
      <c r="K31" s="13">
        <v>2</v>
      </c>
      <c r="L31" s="3">
        <v>3</v>
      </c>
      <c r="M31" s="3">
        <v>4</v>
      </c>
      <c r="N31" s="3">
        <v>5</v>
      </c>
      <c r="O31" s="3">
        <v>6</v>
      </c>
      <c r="P31" s="3">
        <v>7</v>
      </c>
      <c r="Q31" s="3">
        <v>8</v>
      </c>
      <c r="R31" s="3">
        <v>9</v>
      </c>
      <c r="S31" s="3">
        <v>10</v>
      </c>
      <c r="T31" s="3">
        <v>11</v>
      </c>
      <c r="U31" s="3">
        <v>12</v>
      </c>
      <c r="V31" s="3">
        <v>13</v>
      </c>
      <c r="W31" s="3">
        <v>14</v>
      </c>
      <c r="X31" s="3">
        <v>15</v>
      </c>
      <c r="Y31" s="3">
        <v>16</v>
      </c>
      <c r="Z31" s="3">
        <v>17</v>
      </c>
      <c r="AA31" s="3">
        <v>18</v>
      </c>
      <c r="AB31" s="3">
        <v>19</v>
      </c>
      <c r="AC31" s="3">
        <v>20</v>
      </c>
      <c r="AD31" s="3">
        <v>21</v>
      </c>
      <c r="AE31" s="3">
        <v>22</v>
      </c>
      <c r="AF31" s="3">
        <v>23</v>
      </c>
      <c r="AG31" s="3">
        <v>24</v>
      </c>
      <c r="AH31" s="3">
        <v>25</v>
      </c>
      <c r="AI31" s="3">
        <v>26</v>
      </c>
      <c r="AJ31" s="3">
        <v>27</v>
      </c>
      <c r="AK31" s="3">
        <v>28</v>
      </c>
      <c r="AL31" s="3">
        <v>29</v>
      </c>
      <c r="AM31" s="3">
        <v>30</v>
      </c>
      <c r="AN31" s="3">
        <v>31</v>
      </c>
      <c r="AO31" s="3">
        <v>32</v>
      </c>
      <c r="AP31" s="3">
        <v>33</v>
      </c>
      <c r="AQ31" s="3">
        <v>34</v>
      </c>
      <c r="AR31" s="3">
        <v>35</v>
      </c>
      <c r="AS31" s="3">
        <v>36</v>
      </c>
      <c r="AT31" s="3">
        <v>37</v>
      </c>
      <c r="AU31" s="3">
        <v>38</v>
      </c>
      <c r="AV31" s="3">
        <v>39</v>
      </c>
      <c r="AW31" s="3">
        <v>40</v>
      </c>
      <c r="AX31" s="3">
        <v>41</v>
      </c>
      <c r="AY31" s="3">
        <v>42</v>
      </c>
      <c r="AZ31" s="3">
        <v>43</v>
      </c>
      <c r="BA31" s="3">
        <v>44</v>
      </c>
      <c r="BB31" s="3">
        <v>45</v>
      </c>
      <c r="BC31" s="3">
        <v>46</v>
      </c>
      <c r="BD31" s="3">
        <v>47</v>
      </c>
      <c r="BE31" s="13">
        <v>48</v>
      </c>
    </row>
    <row r="32" spans="8:57" ht="15.75" thickBot="1" x14ac:dyDescent="0.3">
      <c r="H32" s="3" t="s">
        <v>11</v>
      </c>
      <c r="I32" s="10"/>
      <c r="J32" s="11"/>
      <c r="K32" s="22"/>
      <c r="L32" s="40"/>
      <c r="M32" s="7"/>
      <c r="N32" s="7"/>
      <c r="O32" s="7"/>
      <c r="P32" s="7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1"/>
      <c r="BE32" s="15"/>
    </row>
    <row r="33" spans="8:57" ht="15.75" thickBot="1" x14ac:dyDescent="0.3">
      <c r="H33" s="3" t="s">
        <v>12</v>
      </c>
      <c r="I33" s="10"/>
      <c r="J33" s="10"/>
      <c r="K33" s="17"/>
      <c r="L33" s="16"/>
      <c r="M33" s="18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7"/>
      <c r="AI33" s="7"/>
      <c r="AJ33" s="7"/>
      <c r="AK33" s="7"/>
      <c r="AL33" s="7"/>
      <c r="AM33" s="7"/>
      <c r="AN33" s="7"/>
      <c r="AO33" s="7"/>
      <c r="AP33" s="7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1"/>
      <c r="BE33" s="15"/>
    </row>
    <row r="34" spans="8:57" ht="15.75" thickBot="1" x14ac:dyDescent="0.3">
      <c r="H34" s="3" t="s">
        <v>13</v>
      </c>
      <c r="I34" s="20"/>
      <c r="J34" s="10"/>
      <c r="K34" s="10"/>
      <c r="L34" s="17"/>
      <c r="M34" s="16"/>
      <c r="N34" s="12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7"/>
      <c r="AB34" s="7"/>
      <c r="AC34" s="7"/>
      <c r="AD34" s="7"/>
      <c r="AE34" s="7"/>
      <c r="AF34" s="7"/>
      <c r="AG34" s="7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1"/>
      <c r="BE34" s="15"/>
    </row>
    <row r="35" spans="8:57" ht="15.75" thickBot="1" x14ac:dyDescent="0.3">
      <c r="H35" s="19" t="s">
        <v>14</v>
      </c>
      <c r="I35" s="16"/>
      <c r="J35" s="12"/>
      <c r="K35" s="10"/>
      <c r="L35" s="10"/>
      <c r="M35" s="14"/>
      <c r="N35" s="10"/>
      <c r="O35" s="2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32"/>
      <c r="BE35" s="33"/>
    </row>
    <row r="36" spans="8:57" ht="15.75" thickBot="1" x14ac:dyDescent="0.3">
      <c r="H36" s="3" t="s">
        <v>15</v>
      </c>
      <c r="I36" s="21"/>
      <c r="J36" s="10"/>
      <c r="K36" s="10"/>
      <c r="L36" s="10"/>
      <c r="M36" s="10"/>
      <c r="N36" s="11"/>
      <c r="O36" s="16"/>
      <c r="P36" s="12"/>
      <c r="Q36" s="7"/>
      <c r="R36" s="7"/>
      <c r="S36" s="7"/>
      <c r="T36" s="7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1"/>
      <c r="BE36" s="15"/>
    </row>
    <row r="37" spans="8:57" ht="15.75" thickBot="1" x14ac:dyDescent="0.3">
      <c r="H37" s="19" t="s">
        <v>16</v>
      </c>
      <c r="I37" s="38"/>
      <c r="J37" s="39"/>
      <c r="K37" s="10"/>
      <c r="L37" s="10"/>
      <c r="M37" s="10"/>
      <c r="N37" s="10"/>
      <c r="O37" s="14"/>
      <c r="P37" s="10"/>
      <c r="Q37" s="10"/>
      <c r="R37" s="10"/>
      <c r="S37" s="10"/>
      <c r="T37" s="10"/>
      <c r="U37" s="7"/>
      <c r="V37" s="7"/>
      <c r="W37" s="7"/>
      <c r="X37" s="7"/>
      <c r="Y37" s="7"/>
      <c r="Z37" s="7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1"/>
      <c r="BE37" s="15"/>
    </row>
    <row r="38" spans="8:57" x14ac:dyDescent="0.25">
      <c r="BE38" s="28"/>
    </row>
    <row r="39" spans="8:57" x14ac:dyDescent="0.25">
      <c r="H39" t="s">
        <v>18</v>
      </c>
      <c r="I39">
        <f>((8-0)+(12-6)+(18-2)+(25-3)+(34-4)+(48-0))/6</f>
        <v>21.666666666666668</v>
      </c>
    </row>
    <row r="40" spans="8:57" x14ac:dyDescent="0.25">
      <c r="H40" t="s">
        <v>17</v>
      </c>
      <c r="I40">
        <f>((8-0-8)+(12-6-4)+(18-2-6)+(25-3-9)+(34-4-7)+(48-0-14))/6</f>
        <v>13.666666666666666</v>
      </c>
    </row>
    <row r="43" spans="8:57" ht="15.75" thickBot="1" x14ac:dyDescent="0.3">
      <c r="H43" s="3" t="s">
        <v>21</v>
      </c>
      <c r="I43" s="3">
        <v>0</v>
      </c>
      <c r="J43" s="3">
        <v>1</v>
      </c>
      <c r="K43" s="13">
        <v>2</v>
      </c>
      <c r="L43" s="3">
        <v>3</v>
      </c>
      <c r="M43" s="3">
        <v>4</v>
      </c>
      <c r="N43" s="3">
        <v>5</v>
      </c>
      <c r="O43" s="3">
        <v>6</v>
      </c>
      <c r="P43" s="3">
        <v>7</v>
      </c>
      <c r="Q43" s="3">
        <v>8</v>
      </c>
      <c r="R43" s="3">
        <v>9</v>
      </c>
      <c r="S43" s="3">
        <v>10</v>
      </c>
      <c r="T43" s="3">
        <v>11</v>
      </c>
      <c r="U43" s="3">
        <v>12</v>
      </c>
      <c r="V43" s="3">
        <v>13</v>
      </c>
      <c r="W43" s="3">
        <v>14</v>
      </c>
      <c r="X43" s="3">
        <v>15</v>
      </c>
      <c r="Y43" s="3">
        <v>16</v>
      </c>
      <c r="Z43" s="3">
        <v>17</v>
      </c>
      <c r="AA43" s="3">
        <v>18</v>
      </c>
      <c r="AB43" s="3">
        <v>19</v>
      </c>
      <c r="AC43" s="3">
        <v>20</v>
      </c>
      <c r="AD43" s="3">
        <v>21</v>
      </c>
      <c r="AE43" s="3">
        <v>22</v>
      </c>
      <c r="AF43" s="3">
        <v>23</v>
      </c>
      <c r="AG43" s="3">
        <v>24</v>
      </c>
      <c r="AH43" s="3">
        <v>25</v>
      </c>
      <c r="AI43" s="3">
        <v>26</v>
      </c>
      <c r="AJ43" s="3">
        <v>27</v>
      </c>
      <c r="AK43" s="3">
        <v>28</v>
      </c>
      <c r="AL43" s="3">
        <v>29</v>
      </c>
      <c r="AM43" s="3">
        <v>30</v>
      </c>
      <c r="AN43" s="3">
        <v>31</v>
      </c>
      <c r="AO43" s="3">
        <v>32</v>
      </c>
      <c r="AP43" s="3">
        <v>33</v>
      </c>
      <c r="AQ43" s="3">
        <v>34</v>
      </c>
      <c r="AR43" s="3">
        <v>35</v>
      </c>
      <c r="AS43" s="3">
        <v>36</v>
      </c>
      <c r="AT43" s="3">
        <v>37</v>
      </c>
      <c r="AU43" s="3">
        <v>38</v>
      </c>
      <c r="AV43" s="3">
        <v>39</v>
      </c>
      <c r="AW43" s="3">
        <v>40</v>
      </c>
      <c r="AX43" s="3">
        <v>41</v>
      </c>
      <c r="AY43" s="3">
        <v>42</v>
      </c>
      <c r="AZ43" s="3">
        <v>43</v>
      </c>
      <c r="BA43" s="3">
        <v>44</v>
      </c>
      <c r="BB43" s="3">
        <v>45</v>
      </c>
      <c r="BC43" s="3">
        <v>46</v>
      </c>
      <c r="BD43" s="3">
        <v>47</v>
      </c>
      <c r="BE43" s="13">
        <v>48</v>
      </c>
    </row>
    <row r="44" spans="8:57" ht="15.75" thickBot="1" x14ac:dyDescent="0.3">
      <c r="H44" s="3" t="s">
        <v>11</v>
      </c>
      <c r="I44" s="10"/>
      <c r="J44" s="11"/>
      <c r="K44" s="16"/>
      <c r="L44" s="18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7"/>
      <c r="X44" s="7"/>
      <c r="Y44" s="7"/>
      <c r="Z44" s="7"/>
      <c r="AA44" s="7"/>
      <c r="AB44" s="7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1"/>
    </row>
    <row r="45" spans="8:57" ht="15.75" thickBot="1" x14ac:dyDescent="0.3">
      <c r="H45" s="3" t="s">
        <v>12</v>
      </c>
      <c r="I45" s="10"/>
      <c r="J45" s="10"/>
      <c r="K45" s="17"/>
      <c r="L45" s="16"/>
      <c r="M45" s="18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7"/>
      <c r="AD45" s="7"/>
      <c r="AE45" s="7"/>
      <c r="AF45" s="7"/>
      <c r="AG45" s="7"/>
      <c r="AH45" s="7"/>
      <c r="AI45" s="7"/>
      <c r="AJ45" s="7"/>
      <c r="AK45" s="7"/>
      <c r="AL45" s="30"/>
      <c r="AM45" s="30"/>
      <c r="AN45" s="30"/>
      <c r="AO45" s="30"/>
      <c r="AP45" s="30"/>
      <c r="AQ45" s="30"/>
      <c r="AR45" s="30"/>
      <c r="AS45" s="30"/>
      <c r="AT45" s="30"/>
      <c r="AU45" s="30"/>
      <c r="AV45" s="30"/>
      <c r="AW45" s="30"/>
      <c r="AX45" s="30"/>
      <c r="AY45" s="30"/>
      <c r="AZ45" s="30"/>
      <c r="BA45" s="30"/>
      <c r="BB45" s="30"/>
      <c r="BC45" s="30"/>
      <c r="BD45" s="42"/>
      <c r="BE45" s="31"/>
    </row>
    <row r="46" spans="8:57" ht="15.75" thickBot="1" x14ac:dyDescent="0.3">
      <c r="H46" s="3" t="s">
        <v>13</v>
      </c>
      <c r="I46" s="20"/>
      <c r="J46" s="10"/>
      <c r="K46" s="10"/>
      <c r="L46" s="17"/>
      <c r="M46" s="16"/>
      <c r="N46" s="12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30"/>
      <c r="AE46" s="30"/>
      <c r="AF46" s="30"/>
      <c r="AG46" s="30"/>
      <c r="AH46" s="30"/>
      <c r="AI46" s="30"/>
      <c r="AJ46" s="30"/>
      <c r="AK46" s="30"/>
      <c r="AL46" s="7"/>
      <c r="AM46" s="7"/>
      <c r="AN46" s="7"/>
      <c r="AO46" s="7"/>
      <c r="AP46" s="7"/>
      <c r="AQ46" s="7"/>
      <c r="AR46" s="7"/>
      <c r="AS46" s="30"/>
      <c r="AT46" s="30"/>
      <c r="AU46" s="30"/>
      <c r="AV46" s="30"/>
      <c r="AW46" s="30"/>
      <c r="AX46" s="30"/>
      <c r="AY46" s="30"/>
      <c r="AZ46" s="30"/>
      <c r="BA46" s="30"/>
      <c r="BB46" s="30"/>
      <c r="BC46" s="30"/>
      <c r="BD46" s="42"/>
      <c r="BE46" s="31"/>
    </row>
    <row r="47" spans="8:57" ht="15.75" thickBot="1" x14ac:dyDescent="0.3">
      <c r="H47" s="19" t="s">
        <v>14</v>
      </c>
      <c r="I47" s="22"/>
      <c r="J47" s="23"/>
      <c r="K47" s="7"/>
      <c r="L47" s="7"/>
      <c r="M47" s="24"/>
      <c r="N47" s="7"/>
      <c r="O47" s="25"/>
      <c r="P47" s="7"/>
      <c r="Q47" s="7"/>
      <c r="R47" s="7"/>
      <c r="S47" s="7"/>
      <c r="T47" s="7"/>
      <c r="U47" s="7"/>
      <c r="V47" s="7"/>
      <c r="W47" s="10"/>
      <c r="X47" s="10"/>
      <c r="Y47" s="10"/>
      <c r="Z47" s="10"/>
      <c r="AA47" s="10"/>
      <c r="AB47" s="10"/>
      <c r="AC47" s="1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0"/>
      <c r="AO47" s="30"/>
      <c r="AP47" s="30"/>
      <c r="AQ47" s="43"/>
      <c r="AR47" s="43"/>
      <c r="AS47" s="43"/>
      <c r="AT47" s="43"/>
      <c r="AU47" s="43"/>
      <c r="AV47" s="43"/>
      <c r="AW47" s="43"/>
      <c r="AX47" s="43"/>
      <c r="AY47" s="43"/>
      <c r="AZ47" s="43"/>
      <c r="BA47" s="43"/>
      <c r="BB47" s="43"/>
      <c r="BC47" s="43"/>
      <c r="BD47" s="44"/>
      <c r="BE47" s="31"/>
    </row>
    <row r="48" spans="8:57" ht="15.75" thickBot="1" x14ac:dyDescent="0.3">
      <c r="H48" s="3" t="s">
        <v>15</v>
      </c>
      <c r="I48" s="21"/>
      <c r="J48" s="10"/>
      <c r="K48" s="10"/>
      <c r="L48" s="10"/>
      <c r="M48" s="10"/>
      <c r="N48" s="11"/>
      <c r="O48" s="16"/>
      <c r="P48" s="12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7"/>
      <c r="AT48" s="7"/>
      <c r="AU48" s="7"/>
      <c r="AV48" s="7"/>
      <c r="AW48" s="30"/>
      <c r="AX48" s="30"/>
      <c r="AY48" s="30"/>
      <c r="AZ48" s="30"/>
      <c r="BA48" s="30"/>
      <c r="BB48" s="30"/>
      <c r="BC48" s="30"/>
      <c r="BD48" s="42"/>
      <c r="BE48" s="31"/>
    </row>
    <row r="49" spans="1:57" ht="15.75" thickBot="1" x14ac:dyDescent="0.3">
      <c r="H49" s="19" t="s">
        <v>16</v>
      </c>
      <c r="I49" s="16"/>
      <c r="J49" s="12"/>
      <c r="K49" s="10"/>
      <c r="L49" s="10"/>
      <c r="M49" s="10"/>
      <c r="N49" s="10"/>
      <c r="O49" s="14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30"/>
      <c r="AE49" s="30"/>
      <c r="AF49" s="30"/>
      <c r="AG49" s="30"/>
      <c r="AH49" s="30"/>
      <c r="AI49" s="30"/>
      <c r="AJ49" s="30"/>
      <c r="AK49" s="30"/>
      <c r="AL49" s="30"/>
      <c r="AM49" s="30"/>
      <c r="AN49" s="30"/>
      <c r="AO49" s="30"/>
      <c r="AP49" s="30"/>
      <c r="AQ49" s="30"/>
      <c r="AR49" s="30"/>
      <c r="AS49" s="30"/>
      <c r="AT49" s="30"/>
      <c r="AU49" s="30"/>
      <c r="AV49" s="30"/>
      <c r="AW49" s="7"/>
      <c r="AX49" s="7"/>
      <c r="AY49" s="7"/>
      <c r="AZ49" s="7"/>
      <c r="BA49" s="7"/>
      <c r="BB49" s="7"/>
      <c r="BC49" s="7"/>
      <c r="BD49" s="41"/>
      <c r="BE49" s="31"/>
    </row>
    <row r="51" spans="1:57" x14ac:dyDescent="0.25">
      <c r="H51" t="s">
        <v>18</v>
      </c>
      <c r="I51">
        <f>((14-0)+(20-2)+(29-3)+(36-4)+(40-6)+(48-0))/6</f>
        <v>28.666666666666668</v>
      </c>
    </row>
    <row r="52" spans="1:57" x14ac:dyDescent="0.25">
      <c r="H52" t="s">
        <v>17</v>
      </c>
      <c r="I52">
        <f>((14-0-14)+(20-2-6)+(29-3-9)+(36-4-7)+(40-6-4)+(48-0-8))/6</f>
        <v>20.666666666666668</v>
      </c>
    </row>
    <row r="55" spans="1:57" ht="45.75" thickBot="1" x14ac:dyDescent="0.3">
      <c r="A55" s="1" t="s">
        <v>0</v>
      </c>
      <c r="B55" s="1" t="s">
        <v>9</v>
      </c>
      <c r="C55" s="1" t="s">
        <v>8</v>
      </c>
      <c r="D55" s="1" t="s">
        <v>1</v>
      </c>
      <c r="H55" s="3" t="s">
        <v>22</v>
      </c>
      <c r="I55" s="3">
        <v>0</v>
      </c>
      <c r="J55" s="3">
        <v>1</v>
      </c>
      <c r="K55" s="13">
        <v>2</v>
      </c>
      <c r="L55" s="3">
        <v>3</v>
      </c>
      <c r="M55" s="3">
        <v>4</v>
      </c>
      <c r="N55" s="3">
        <v>5</v>
      </c>
      <c r="O55" s="3">
        <v>6</v>
      </c>
      <c r="P55" s="3">
        <v>7</v>
      </c>
      <c r="Q55" s="3">
        <v>8</v>
      </c>
      <c r="R55" s="3">
        <v>9</v>
      </c>
      <c r="S55" s="3">
        <v>10</v>
      </c>
      <c r="T55" s="3">
        <v>11</v>
      </c>
      <c r="U55" s="3">
        <v>12</v>
      </c>
      <c r="V55" s="3">
        <v>13</v>
      </c>
      <c r="W55" s="3">
        <v>14</v>
      </c>
      <c r="X55" s="3">
        <v>15</v>
      </c>
      <c r="Y55" s="3">
        <v>16</v>
      </c>
      <c r="Z55" s="3">
        <v>17</v>
      </c>
      <c r="AA55" s="3">
        <v>18</v>
      </c>
      <c r="AB55" s="3">
        <v>19</v>
      </c>
      <c r="AC55" s="3">
        <v>20</v>
      </c>
      <c r="AD55" s="3">
        <v>21</v>
      </c>
      <c r="AE55" s="3">
        <v>22</v>
      </c>
      <c r="AF55" s="3">
        <v>23</v>
      </c>
      <c r="AG55" s="3">
        <v>24</v>
      </c>
      <c r="AH55" s="3">
        <v>25</v>
      </c>
      <c r="AI55" s="3">
        <v>26</v>
      </c>
      <c r="AJ55" s="3">
        <v>27</v>
      </c>
      <c r="AK55" s="3">
        <v>28</v>
      </c>
      <c r="AL55" s="3">
        <v>29</v>
      </c>
      <c r="AM55" s="3">
        <v>30</v>
      </c>
      <c r="AN55" s="3">
        <v>31</v>
      </c>
      <c r="AO55" s="3">
        <v>32</v>
      </c>
      <c r="AP55" s="3">
        <v>33</v>
      </c>
      <c r="AQ55" s="3">
        <v>34</v>
      </c>
      <c r="AR55" s="3">
        <v>35</v>
      </c>
      <c r="AS55" s="3">
        <v>36</v>
      </c>
      <c r="AT55" s="3">
        <v>37</v>
      </c>
      <c r="AU55" s="3">
        <v>38</v>
      </c>
      <c r="AV55" s="3">
        <v>39</v>
      </c>
      <c r="AW55" s="3">
        <v>40</v>
      </c>
      <c r="AX55" s="3">
        <v>41</v>
      </c>
      <c r="AY55" s="3">
        <v>42</v>
      </c>
      <c r="AZ55" s="3">
        <v>43</v>
      </c>
      <c r="BA55" s="3">
        <v>44</v>
      </c>
      <c r="BB55" s="3">
        <v>45</v>
      </c>
      <c r="BC55" s="3">
        <v>46</v>
      </c>
      <c r="BD55" s="3">
        <v>47</v>
      </c>
      <c r="BE55" s="13">
        <v>48</v>
      </c>
    </row>
    <row r="56" spans="1:57" ht="15.75" thickBot="1" x14ac:dyDescent="0.3">
      <c r="A56" s="2" t="s">
        <v>2</v>
      </c>
      <c r="B56" s="2">
        <v>2</v>
      </c>
      <c r="C56" s="2">
        <v>6</v>
      </c>
      <c r="D56" s="2">
        <v>1</v>
      </c>
      <c r="H56" s="3" t="s">
        <v>11</v>
      </c>
      <c r="I56" s="10"/>
      <c r="J56" s="11"/>
      <c r="K56" s="22"/>
      <c r="L56" s="40"/>
      <c r="M56" s="7"/>
      <c r="N56" s="7"/>
      <c r="O56" s="7"/>
      <c r="P56" s="7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1"/>
    </row>
    <row r="57" spans="1:57" ht="15.75" thickBot="1" x14ac:dyDescent="0.3">
      <c r="A57" s="2" t="s">
        <v>3</v>
      </c>
      <c r="B57" s="2">
        <v>3</v>
      </c>
      <c r="C57" s="2">
        <v>9</v>
      </c>
      <c r="D57" s="2">
        <v>2</v>
      </c>
      <c r="H57" s="3" t="s">
        <v>12</v>
      </c>
      <c r="I57" s="10"/>
      <c r="J57" s="10"/>
      <c r="K57" s="17"/>
      <c r="L57" s="16"/>
      <c r="M57" s="18"/>
      <c r="N57" s="10"/>
      <c r="O57" s="10"/>
      <c r="P57" s="10"/>
      <c r="Q57" s="7"/>
      <c r="R57" s="7"/>
      <c r="S57" s="7"/>
      <c r="T57" s="7"/>
      <c r="U57" s="7"/>
      <c r="V57" s="7"/>
      <c r="W57" s="7"/>
      <c r="X57" s="7"/>
      <c r="Y57" s="7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1"/>
    </row>
    <row r="58" spans="1:57" ht="15.75" thickBot="1" x14ac:dyDescent="0.3">
      <c r="A58" s="2" t="s">
        <v>4</v>
      </c>
      <c r="B58" s="2">
        <v>4</v>
      </c>
      <c r="C58" s="2">
        <v>7</v>
      </c>
      <c r="D58" s="2">
        <v>3</v>
      </c>
      <c r="H58" s="3" t="s">
        <v>13</v>
      </c>
      <c r="I58" s="20"/>
      <c r="J58" s="10"/>
      <c r="K58" s="10"/>
      <c r="L58" s="17"/>
      <c r="M58" s="16"/>
      <c r="N58" s="12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7"/>
      <c r="AA58" s="7"/>
      <c r="AB58" s="7"/>
      <c r="AC58" s="7"/>
      <c r="AD58" s="7"/>
      <c r="AE58" s="7"/>
      <c r="AF58" s="7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1"/>
    </row>
    <row r="59" spans="1:57" ht="15.75" thickBot="1" x14ac:dyDescent="0.3">
      <c r="A59" s="2" t="s">
        <v>5</v>
      </c>
      <c r="B59" s="2">
        <v>0</v>
      </c>
      <c r="C59" s="2">
        <v>14</v>
      </c>
      <c r="D59" s="2">
        <v>4</v>
      </c>
      <c r="H59" s="19" t="s">
        <v>14</v>
      </c>
      <c r="I59" s="22"/>
      <c r="J59" s="23"/>
      <c r="K59" s="10"/>
      <c r="L59" s="10"/>
      <c r="M59" s="14"/>
      <c r="N59" s="10"/>
      <c r="O59" s="2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27"/>
      <c r="AR59" s="27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35"/>
    </row>
    <row r="60" spans="1:57" ht="15.75" thickBot="1" x14ac:dyDescent="0.3">
      <c r="A60" s="2" t="s">
        <v>6</v>
      </c>
      <c r="B60" s="2">
        <v>6</v>
      </c>
      <c r="C60" s="2">
        <v>4</v>
      </c>
      <c r="D60" s="2">
        <v>5</v>
      </c>
      <c r="H60" s="3" t="s">
        <v>15</v>
      </c>
      <c r="I60" s="21"/>
      <c r="J60" s="10"/>
      <c r="K60" s="10"/>
      <c r="L60" s="10"/>
      <c r="M60" s="10"/>
      <c r="N60" s="11"/>
      <c r="O60" s="16"/>
      <c r="P60" s="12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7"/>
      <c r="AT60" s="7"/>
      <c r="AU60" s="7"/>
      <c r="AV60" s="7"/>
      <c r="AW60" s="10"/>
      <c r="AX60" s="10"/>
      <c r="AY60" s="10"/>
      <c r="AZ60" s="10"/>
      <c r="BA60" s="10"/>
      <c r="BB60" s="10"/>
      <c r="BC60" s="10"/>
      <c r="BD60" s="11"/>
    </row>
    <row r="61" spans="1:57" ht="15.75" thickBot="1" x14ac:dyDescent="0.3">
      <c r="A61" s="2" t="s">
        <v>7</v>
      </c>
      <c r="B61" s="2">
        <v>0</v>
      </c>
      <c r="C61" s="2">
        <v>8</v>
      </c>
      <c r="D61" s="2">
        <v>6</v>
      </c>
      <c r="H61" s="19" t="s">
        <v>16</v>
      </c>
      <c r="I61" s="36"/>
      <c r="J61" s="37"/>
      <c r="K61" s="10"/>
      <c r="L61" s="10"/>
      <c r="M61" s="10"/>
      <c r="N61" s="10"/>
      <c r="O61" s="14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7"/>
      <c r="AX61" s="7"/>
      <c r="AY61" s="7"/>
      <c r="AZ61" s="7"/>
      <c r="BA61" s="7"/>
      <c r="BB61" s="7"/>
      <c r="BC61" s="7"/>
      <c r="BD61" s="41"/>
    </row>
    <row r="63" spans="1:57" x14ac:dyDescent="0.25">
      <c r="H63" t="s">
        <v>18</v>
      </c>
      <c r="I63">
        <f>((36-0)+(8-2)+(17-3)+(24-4)+(40-6)+(48-0))/6</f>
        <v>26.333333333333332</v>
      </c>
    </row>
    <row r="64" spans="1:57" x14ac:dyDescent="0.25">
      <c r="H64" t="s">
        <v>17</v>
      </c>
      <c r="I64">
        <f>((36-0-14)+(8-2-6)+(17-3-9)+(24-4-7)+(40-6-4)+(48-0-8))/6</f>
        <v>18.333333333333332</v>
      </c>
    </row>
    <row r="67" spans="1:57" ht="15.75" thickBot="1" x14ac:dyDescent="0.3">
      <c r="H67" s="3" t="s">
        <v>23</v>
      </c>
      <c r="I67" s="3">
        <v>0</v>
      </c>
      <c r="J67" s="3">
        <v>1</v>
      </c>
      <c r="K67" s="13">
        <v>2</v>
      </c>
      <c r="L67" s="3">
        <v>3</v>
      </c>
      <c r="M67" s="3">
        <v>4</v>
      </c>
      <c r="N67" s="3">
        <v>5</v>
      </c>
      <c r="O67" s="3">
        <v>6</v>
      </c>
      <c r="P67" s="3">
        <v>7</v>
      </c>
      <c r="Q67" s="3">
        <v>8</v>
      </c>
      <c r="R67" s="3">
        <v>9</v>
      </c>
      <c r="S67" s="3">
        <v>10</v>
      </c>
      <c r="T67" s="3">
        <v>11</v>
      </c>
      <c r="U67" s="3">
        <v>12</v>
      </c>
      <c r="V67" s="3">
        <v>13</v>
      </c>
      <c r="W67" s="3">
        <v>14</v>
      </c>
      <c r="X67" s="3">
        <v>15</v>
      </c>
      <c r="Y67" s="3">
        <v>16</v>
      </c>
      <c r="Z67" s="3">
        <v>17</v>
      </c>
      <c r="AA67" s="3">
        <v>18</v>
      </c>
      <c r="AB67" s="3">
        <v>19</v>
      </c>
      <c r="AC67" s="3">
        <v>20</v>
      </c>
      <c r="AD67" s="3">
        <v>21</v>
      </c>
      <c r="AE67" s="3">
        <v>22</v>
      </c>
      <c r="AF67" s="3">
        <v>23</v>
      </c>
      <c r="AG67" s="3">
        <v>24</v>
      </c>
      <c r="AH67" s="3">
        <v>25</v>
      </c>
      <c r="AI67" s="3">
        <v>26</v>
      </c>
      <c r="AJ67" s="3">
        <v>27</v>
      </c>
      <c r="AK67" s="3">
        <v>28</v>
      </c>
      <c r="AL67" s="3">
        <v>29</v>
      </c>
      <c r="AM67" s="3">
        <v>30</v>
      </c>
      <c r="AN67" s="3">
        <v>31</v>
      </c>
      <c r="AO67" s="3">
        <v>32</v>
      </c>
      <c r="AP67" s="3">
        <v>33</v>
      </c>
      <c r="AQ67" s="3">
        <v>34</v>
      </c>
      <c r="AR67" s="3">
        <v>35</v>
      </c>
      <c r="AS67" s="3">
        <v>36</v>
      </c>
      <c r="AT67" s="3">
        <v>37</v>
      </c>
      <c r="AU67" s="3">
        <v>38</v>
      </c>
      <c r="AV67" s="3">
        <v>39</v>
      </c>
      <c r="AW67" s="3">
        <v>40</v>
      </c>
      <c r="AX67" s="3">
        <v>41</v>
      </c>
      <c r="AY67" s="3">
        <v>42</v>
      </c>
      <c r="AZ67" s="3">
        <v>43</v>
      </c>
      <c r="BA67" s="3">
        <v>44</v>
      </c>
      <c r="BB67" s="3">
        <v>45</v>
      </c>
      <c r="BC67" s="3">
        <v>46</v>
      </c>
      <c r="BD67" s="3">
        <v>47</v>
      </c>
      <c r="BE67" s="13">
        <v>48</v>
      </c>
    </row>
    <row r="68" spans="1:57" ht="15.75" thickBot="1" x14ac:dyDescent="0.3">
      <c r="H68" s="3" t="s">
        <v>11</v>
      </c>
      <c r="I68" s="10"/>
      <c r="J68" s="11"/>
      <c r="K68" s="16"/>
      <c r="L68" s="18"/>
      <c r="M68" s="10"/>
      <c r="N68" s="10"/>
      <c r="O68" s="10"/>
      <c r="P68" s="10"/>
      <c r="Q68" s="7"/>
      <c r="R68" s="7"/>
      <c r="S68" s="7"/>
      <c r="T68" s="7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7"/>
      <c r="AP68" s="7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1"/>
      <c r="BE68" s="28"/>
    </row>
    <row r="69" spans="1:57" ht="15.75" thickBot="1" x14ac:dyDescent="0.3">
      <c r="H69" s="3" t="s">
        <v>12</v>
      </c>
      <c r="I69" s="10"/>
      <c r="J69" s="10"/>
      <c r="K69" s="17"/>
      <c r="L69" s="16"/>
      <c r="M69" s="18"/>
      <c r="N69" s="10"/>
      <c r="O69" s="10"/>
      <c r="P69" s="10"/>
      <c r="Q69" s="10"/>
      <c r="R69" s="10"/>
      <c r="S69" s="10"/>
      <c r="T69" s="10"/>
      <c r="U69" s="7"/>
      <c r="V69" s="7"/>
      <c r="W69" s="7"/>
      <c r="X69" s="7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7"/>
      <c r="AR69" s="7"/>
      <c r="AS69" s="7"/>
      <c r="AT69" s="7"/>
      <c r="AU69" s="10"/>
      <c r="AV69" s="10"/>
      <c r="AW69" s="10"/>
      <c r="AX69" s="10"/>
      <c r="AY69" s="10"/>
      <c r="AZ69" s="10"/>
      <c r="BA69" s="10"/>
      <c r="BB69" s="7"/>
      <c r="BC69" s="10"/>
      <c r="BD69" s="11"/>
      <c r="BE69" s="28"/>
    </row>
    <row r="70" spans="1:57" ht="15.75" thickBot="1" x14ac:dyDescent="0.3">
      <c r="H70" s="3" t="s">
        <v>13</v>
      </c>
      <c r="I70" s="20"/>
      <c r="J70" s="10"/>
      <c r="K70" s="10"/>
      <c r="L70" s="17"/>
      <c r="M70" s="16"/>
      <c r="N70" s="12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7"/>
      <c r="Z70" s="7"/>
      <c r="AA70" s="7"/>
      <c r="AB70" s="7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7"/>
      <c r="AV70" s="7"/>
      <c r="AW70" s="7"/>
      <c r="AX70" s="10"/>
      <c r="AY70" s="10"/>
      <c r="AZ70" s="10"/>
      <c r="BA70" s="10"/>
      <c r="BB70" s="10"/>
      <c r="BC70" s="10"/>
      <c r="BD70" s="11"/>
      <c r="BE70" s="28"/>
    </row>
    <row r="71" spans="1:57" ht="15.75" thickBot="1" x14ac:dyDescent="0.3">
      <c r="H71" s="19" t="s">
        <v>14</v>
      </c>
      <c r="I71" s="22"/>
      <c r="J71" s="23"/>
      <c r="K71" s="7"/>
      <c r="L71" s="7"/>
      <c r="M71" s="14"/>
      <c r="N71" s="10"/>
      <c r="O71" s="2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7"/>
      <c r="AD71" s="7"/>
      <c r="AE71" s="7"/>
      <c r="AF71" s="7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26"/>
      <c r="AR71" s="26"/>
      <c r="AS71" s="26"/>
      <c r="AT71" s="26"/>
      <c r="AU71" s="26"/>
      <c r="AV71" s="26"/>
      <c r="AW71" s="26"/>
      <c r="AX71" s="27"/>
      <c r="AY71" s="27"/>
      <c r="AZ71" s="27"/>
      <c r="BA71" s="27"/>
      <c r="BB71" s="26"/>
      <c r="BC71" s="27"/>
      <c r="BD71" s="32"/>
      <c r="BE71" s="28"/>
    </row>
    <row r="72" spans="1:57" ht="15.75" thickBot="1" x14ac:dyDescent="0.3">
      <c r="H72" s="3" t="s">
        <v>15</v>
      </c>
      <c r="I72" s="21"/>
      <c r="J72" s="10"/>
      <c r="K72" s="10"/>
      <c r="L72" s="10"/>
      <c r="M72" s="10"/>
      <c r="N72" s="11"/>
      <c r="O72" s="16"/>
      <c r="P72" s="12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7"/>
      <c r="AH72" s="7"/>
      <c r="AI72" s="7"/>
      <c r="AJ72" s="7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1"/>
      <c r="BE72" s="28"/>
    </row>
    <row r="73" spans="1:57" ht="15.75" thickBot="1" x14ac:dyDescent="0.3">
      <c r="H73" s="19" t="s">
        <v>16</v>
      </c>
      <c r="I73" s="36"/>
      <c r="J73" s="37"/>
      <c r="K73" s="10"/>
      <c r="L73" s="10"/>
      <c r="M73" s="7"/>
      <c r="N73" s="7"/>
      <c r="O73" s="24"/>
      <c r="P73" s="7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7"/>
      <c r="AL73" s="7"/>
      <c r="AM73" s="7"/>
      <c r="AN73" s="7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1"/>
      <c r="BE73" s="28"/>
    </row>
    <row r="75" spans="1:57" x14ac:dyDescent="0.25">
      <c r="H75" t="s">
        <v>18</v>
      </c>
      <c r="I75" s="34">
        <f>((47-0)+ (32-0) + (34-2) + (45-3) + (41-4) + (28-6)) / 6</f>
        <v>35.333333333333336</v>
      </c>
    </row>
    <row r="76" spans="1:57" x14ac:dyDescent="0.25">
      <c r="H76" t="s">
        <v>17</v>
      </c>
      <c r="I76" s="34">
        <f>((34-2-5) + (46-3-9) + (41-4-7) + (48-0-14) + (28-6-4) + (32-0-8)) / 6</f>
        <v>27.833333333333332</v>
      </c>
    </row>
    <row r="79" spans="1:57" ht="30" x14ac:dyDescent="0.25">
      <c r="A79" s="1" t="s">
        <v>24</v>
      </c>
      <c r="B79" s="1" t="s">
        <v>25</v>
      </c>
      <c r="C79" s="1" t="s">
        <v>26</v>
      </c>
    </row>
    <row r="80" spans="1:57" x14ac:dyDescent="0.25">
      <c r="A80" s="2" t="s">
        <v>10</v>
      </c>
      <c r="B80" s="2" t="s">
        <v>27</v>
      </c>
      <c r="C80" s="2" t="s">
        <v>28</v>
      </c>
    </row>
    <row r="81" spans="1:3" ht="45" x14ac:dyDescent="0.25">
      <c r="A81" s="45" t="s">
        <v>29</v>
      </c>
      <c r="B81" s="45" t="s">
        <v>30</v>
      </c>
      <c r="C81" s="45" t="s">
        <v>27</v>
      </c>
    </row>
    <row r="82" spans="1:3" ht="45" x14ac:dyDescent="0.25">
      <c r="A82" s="2" t="s">
        <v>31</v>
      </c>
      <c r="B82" s="2" t="s">
        <v>30</v>
      </c>
      <c r="C82" s="2" t="s">
        <v>27</v>
      </c>
    </row>
    <row r="83" spans="1:3" ht="60" x14ac:dyDescent="0.25">
      <c r="A83" s="2" t="s">
        <v>32</v>
      </c>
      <c r="B83" s="2" t="s">
        <v>33</v>
      </c>
      <c r="C83" s="2" t="s">
        <v>34</v>
      </c>
    </row>
    <row r="84" spans="1:3" ht="60" x14ac:dyDescent="0.25">
      <c r="A84" s="2" t="s">
        <v>35</v>
      </c>
      <c r="B84" s="2" t="s">
        <v>36</v>
      </c>
      <c r="C84" s="2" t="s">
        <v>37</v>
      </c>
    </row>
    <row r="85" spans="1:3" ht="45" x14ac:dyDescent="0.25">
      <c r="A85" s="2" t="s">
        <v>38</v>
      </c>
      <c r="B85" s="2" t="s">
        <v>39</v>
      </c>
      <c r="C85" s="2" t="s">
        <v>40</v>
      </c>
    </row>
    <row r="86" spans="1:3" x14ac:dyDescent="0.25">
      <c r="A86" s="2"/>
      <c r="B86" s="2"/>
      <c r="C86" s="2"/>
    </row>
    <row r="87" spans="1:3" x14ac:dyDescent="0.25">
      <c r="A87" s="2"/>
      <c r="B87" s="2"/>
      <c r="C87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 Name</dc:creator>
  <cp:lastModifiedBy>No Name</cp:lastModifiedBy>
  <dcterms:created xsi:type="dcterms:W3CDTF">2026-06-04T15:39:05Z</dcterms:created>
  <dcterms:modified xsi:type="dcterms:W3CDTF">2026-06-04T19:35:30Z</dcterms:modified>
</cp:coreProperties>
</file>